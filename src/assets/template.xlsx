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sty\Desktop\IT HERO'\ITHERO PAYSHEET\"/>
    </mc:Choice>
  </mc:AlternateContent>
  <xr:revisionPtr revIDLastSave="0" documentId="13_ncr:1_{D22284C4-D584-433C-A725-AC598CBB60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eekly Template" sheetId="1" r:id="rId1"/>
    <sheet name="Sheet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C23" i="1" a="1"/>
  <c r="C23" i="1" s="1"/>
  <c r="L21" i="1"/>
  <c r="H21" i="1"/>
  <c r="V20" i="1"/>
  <c r="Q20" i="1"/>
  <c r="K20" i="1"/>
  <c r="J20" i="1"/>
  <c r="I20" i="1" s="1"/>
  <c r="M20" i="1" s="1"/>
  <c r="V19" i="1"/>
  <c r="Q19" i="1"/>
  <c r="K19" i="1"/>
  <c r="J19" i="1"/>
  <c r="V18" i="1"/>
  <c r="Q18" i="1"/>
  <c r="K18" i="1"/>
  <c r="J18" i="1"/>
  <c r="I18" i="1"/>
  <c r="M18" i="1" s="1"/>
  <c r="V17" i="1"/>
  <c r="Q17" i="1"/>
  <c r="K17" i="1"/>
  <c r="J17" i="1"/>
  <c r="I17" i="1" s="1"/>
  <c r="M17" i="1" s="1"/>
  <c r="V16" i="1"/>
  <c r="Q16" i="1"/>
  <c r="K16" i="1"/>
  <c r="J16" i="1"/>
  <c r="I16" i="1"/>
  <c r="M16" i="1" s="1"/>
  <c r="V15" i="1"/>
  <c r="Q15" i="1"/>
  <c r="Q21" i="1" s="1"/>
  <c r="K15" i="1"/>
  <c r="J15" i="1"/>
  <c r="I15" i="1" s="1"/>
  <c r="M15" i="1" s="1"/>
  <c r="V14" i="1"/>
  <c r="Q14" i="1"/>
  <c r="K14" i="1"/>
  <c r="J14" i="1"/>
  <c r="I14" i="1" s="1"/>
  <c r="M14" i="1" s="1"/>
  <c r="I19" i="1" l="1"/>
  <c r="M19" i="1" s="1"/>
  <c r="V21" i="1"/>
  <c r="M21" i="1"/>
  <c r="I21" i="1"/>
</calcChain>
</file>

<file path=xl/sharedStrings.xml><?xml version="1.0" encoding="utf-8"?>
<sst xmlns="http://schemas.openxmlformats.org/spreadsheetml/2006/main" count="87" uniqueCount="78">
  <si>
    <t>TIme</t>
  </si>
  <si>
    <t>Weekly Timesheet:</t>
  </si>
  <si>
    <t>Break</t>
  </si>
  <si>
    <t>hour</t>
  </si>
  <si>
    <t>mins</t>
  </si>
  <si>
    <t>converted</t>
  </si>
  <si>
    <t>No Break</t>
  </si>
  <si>
    <t>0 Hour 15 Minutes</t>
  </si>
  <si>
    <t>Week Ending:</t>
  </si>
  <si>
    <t>Organization:</t>
  </si>
  <si>
    <t>Employee Name:</t>
  </si>
  <si>
    <t>Supervisor Name:</t>
  </si>
  <si>
    <t>IT Hero PTY LTD</t>
  </si>
  <si>
    <t>0 Hour 30 Minutes</t>
  </si>
  <si>
    <t>Tapuosi Latunipulu</t>
  </si>
  <si>
    <t>0 Hour 45 Minutes</t>
  </si>
  <si>
    <t>Rajeev Prasad</t>
  </si>
  <si>
    <t>1 Hour 0 Minutes</t>
  </si>
  <si>
    <t>1 Hour 15 Minutes</t>
  </si>
  <si>
    <t>1 Hour 30 Minutes</t>
  </si>
  <si>
    <t>1 Hour 45 Minutes</t>
  </si>
  <si>
    <t>2 Hour 0 Minutes</t>
  </si>
  <si>
    <t xml:space="preserve"> </t>
  </si>
  <si>
    <t>Labour Hours</t>
  </si>
  <si>
    <t>Own Vehicle used</t>
  </si>
  <si>
    <t>Living away from Home Allowance (LAFHA)</t>
  </si>
  <si>
    <t>Day of the week</t>
  </si>
  <si>
    <t>Client/Project</t>
  </si>
  <si>
    <t>Project Code</t>
  </si>
  <si>
    <t>Work Details</t>
  </si>
  <si>
    <t>Check-in time</t>
  </si>
  <si>
    <t>Check-out time</t>
  </si>
  <si>
    <t>Break hours</t>
  </si>
  <si>
    <t>Total hours</t>
  </si>
  <si>
    <t>Conversion hours (breaks)</t>
  </si>
  <si>
    <t>Conversion Min Breaks</t>
  </si>
  <si>
    <t>Non-
billable 
hours</t>
  </si>
  <si>
    <t>Total work hours</t>
  </si>
  <si>
    <t>KM Start</t>
  </si>
  <si>
    <t>KM Finish</t>
  </si>
  <si>
    <t>KM travelled</t>
  </si>
  <si>
    <t>Breakfast</t>
  </si>
  <si>
    <t>Lunch</t>
  </si>
  <si>
    <t>Dinner</t>
  </si>
  <si>
    <t>Total Reimbursement</t>
  </si>
  <si>
    <t>Thursday</t>
  </si>
  <si>
    <t xml:space="preserve"> Friday</t>
  </si>
  <si>
    <t>Saturday</t>
  </si>
  <si>
    <t>Sunday</t>
  </si>
  <si>
    <t>Monday</t>
  </si>
  <si>
    <t>Tuesday</t>
  </si>
  <si>
    <t>Wednesday</t>
  </si>
  <si>
    <t>Total:</t>
  </si>
  <si>
    <t>Total vehicle travel</t>
  </si>
  <si>
    <t>Status</t>
  </si>
  <si>
    <t>Comments:</t>
  </si>
  <si>
    <t>Vehicle Rego</t>
  </si>
  <si>
    <t>Employee Signature:</t>
  </si>
  <si>
    <t>Date:</t>
  </si>
  <si>
    <t>T.L</t>
  </si>
  <si>
    <t>Supervisor Signature:</t>
  </si>
  <si>
    <t xml:space="preserve">Note: 
- Mandatory 30 minute break is required every 5 hours of work
</t>
  </si>
  <si>
    <t>- Mandatory 15 minute break every 2 hours of driving.</t>
  </si>
  <si>
    <t>- Mandatory 30 minute break is required every 5 hours of work</t>
  </si>
  <si>
    <t>- Send timesheets to rajeev@ithero.com.au and cc accounts@ithero.com.au</t>
  </si>
  <si>
    <t>- Send all receipts to rajeev@ithero.com.au and cc accounts@ithero.com.au</t>
  </si>
  <si>
    <t>- Submit only 1 timesheet per week.</t>
  </si>
  <si>
    <t xml:space="preserve"> -LAFHA reimbursement needs to be selected "Yes" per meal. LAFHA needs to be approved by your manager. Attach receipts with timesheet</t>
  </si>
  <si>
    <t>rajeev@ithero.com.au</t>
  </si>
  <si>
    <t>cc accounts@ithero.com.au</t>
  </si>
  <si>
    <t>Kiama, NSW 2533, Nowra NSW 2541</t>
  </si>
  <si>
    <t>2533, 2541</t>
  </si>
  <si>
    <t>Media player swap and install</t>
  </si>
  <si>
    <t>TM004</t>
  </si>
  <si>
    <t>IGA Local Grocer proactive maintenance work</t>
  </si>
  <si>
    <t xml:space="preserve">Example: Media player didn’t come with correct cables for the kiama nsw 2533 install.
                                        </t>
  </si>
  <si>
    <t>Erina 2137</t>
  </si>
  <si>
    <t>Media player swap and install and psu swap and install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</si>
</sst>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[$-409]h:mm\ AM/PM"/>
  </numFmts>
  <fonts count="1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6"/>
      <color rgb="FF595959"/>
      <name val="Calibri"/>
    </font>
    <font>
      <sz val="11"/>
      <color theme="1"/>
      <name val="Calibri"/>
    </font>
    <font>
      <sz val="11"/>
      <name val="Calibri"/>
    </font>
    <font>
      <b/>
      <sz val="14"/>
      <color rgb="FF3C78D8"/>
      <name val="Calibri"/>
    </font>
    <font>
      <b/>
      <sz val="12"/>
      <color rgb="FFFF0000"/>
      <name val="Calibri"/>
    </font>
    <font>
      <u/>
      <sz val="11"/>
      <color rgb="FF0000FF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rgb="FFE06666"/>
      <name val="Calibri"/>
    </font>
    <font>
      <b/>
      <sz val="11"/>
      <color theme="1"/>
      <name val="Calibri"/>
    </font>
    <font>
      <b/>
      <sz val="11"/>
      <color rgb="FF595959"/>
      <name val="Calibri"/>
    </font>
    <font>
      <sz val="11"/>
      <color rgb="FF000000"/>
      <name val="Calibri"/>
    </font>
    <font>
      <sz val="12"/>
      <color theme="1"/>
      <name val="Calibri"/>
    </font>
    <font>
      <b/>
      <sz val="12"/>
      <color rgb="FF595959"/>
      <name val="Calibri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1">
    <border>
      <left/>
      <right/>
      <top/>
      <bottom/>
      <diagonal/>
    </border>
    <border>
      <left style="thin">
        <color rgb="FFFF9900"/>
      </left>
      <right/>
      <top style="thin">
        <color rgb="FFFF9900"/>
      </top>
      <bottom style="thin">
        <color rgb="FFFF9900"/>
      </bottom>
      <diagonal/>
    </border>
    <border>
      <left/>
      <right/>
      <top style="thin">
        <color rgb="FFFF9900"/>
      </top>
      <bottom style="thin">
        <color rgb="FFFF9900"/>
      </bottom>
      <diagonal/>
    </border>
    <border>
      <left/>
      <right style="thin">
        <color rgb="FFFF9900"/>
      </right>
      <top style="thin">
        <color rgb="FFFF9900"/>
      </top>
      <bottom style="thin">
        <color rgb="FFFF99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EECE1"/>
      </left>
      <right/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0" xfId="0" applyFont="1"/>
    <xf numFmtId="20" fontId="3" fillId="0" borderId="0" xfId="0" applyNumberFormat="1" applyFont="1"/>
    <xf numFmtId="0" fontId="6" fillId="0" borderId="0" xfId="0" applyFont="1"/>
    <xf numFmtId="0" fontId="3" fillId="0" borderId="0" xfId="0" applyFont="1"/>
    <xf numFmtId="0" fontId="8" fillId="0" borderId="0" xfId="0" applyFont="1"/>
    <xf numFmtId="0" fontId="10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11" fillId="0" borderId="4" xfId="0" applyFont="1" applyBorder="1"/>
    <xf numFmtId="0" fontId="11" fillId="0" borderId="14" xfId="0" applyFont="1" applyBorder="1"/>
    <xf numFmtId="0" fontId="3" fillId="0" borderId="14" xfId="0" applyFont="1" applyBorder="1"/>
    <xf numFmtId="0" fontId="3" fillId="0" borderId="5" xfId="0" applyFont="1" applyBorder="1"/>
    <xf numFmtId="0" fontId="12" fillId="0" borderId="0" xfId="0" applyFont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164" fontId="12" fillId="4" borderId="16" xfId="0" applyNumberFormat="1" applyFont="1" applyFill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3" borderId="17" xfId="0" applyFont="1" applyFill="1" applyBorder="1" applyAlignment="1">
      <alignment vertical="top" wrapText="1"/>
    </xf>
    <xf numFmtId="165" fontId="3" fillId="3" borderId="17" xfId="0" applyNumberFormat="1" applyFont="1" applyFill="1" applyBorder="1" applyAlignment="1">
      <alignment wrapText="1"/>
    </xf>
    <xf numFmtId="49" fontId="3" fillId="3" borderId="17" xfId="0" applyNumberFormat="1" applyFont="1" applyFill="1" applyBorder="1" applyAlignment="1">
      <alignment wrapText="1"/>
    </xf>
    <xf numFmtId="164" fontId="3" fillId="5" borderId="17" xfId="0" applyNumberFormat="1" applyFont="1" applyFill="1" applyBorder="1" applyAlignment="1">
      <alignment wrapText="1"/>
    </xf>
    <xf numFmtId="0" fontId="3" fillId="0" borderId="17" xfId="0" applyFont="1" applyBorder="1" applyAlignment="1">
      <alignment wrapText="1"/>
    </xf>
    <xf numFmtId="0" fontId="3" fillId="3" borderId="17" xfId="0" applyFont="1" applyFill="1" applyBorder="1"/>
    <xf numFmtId="0" fontId="3" fillId="0" borderId="17" xfId="0" applyFont="1" applyBorder="1"/>
    <xf numFmtId="0" fontId="13" fillId="0" borderId="17" xfId="0" applyFont="1" applyBorder="1" applyAlignment="1">
      <alignment horizontal="center" vertical="center" wrapText="1"/>
    </xf>
    <xf numFmtId="0" fontId="3" fillId="3" borderId="18" xfId="0" applyFont="1" applyFill="1" applyBorder="1" applyAlignment="1">
      <alignment vertical="top" wrapText="1"/>
    </xf>
    <xf numFmtId="2" fontId="3" fillId="5" borderId="17" xfId="0" applyNumberFormat="1" applyFont="1" applyFill="1" applyBorder="1" applyAlignment="1">
      <alignment wrapText="1"/>
    </xf>
    <xf numFmtId="2" fontId="3" fillId="5" borderId="19" xfId="0" applyNumberFormat="1" applyFont="1" applyFill="1" applyBorder="1" applyAlignment="1">
      <alignment wrapText="1"/>
    </xf>
    <xf numFmtId="0" fontId="3" fillId="0" borderId="4" xfId="0" applyFont="1" applyBorder="1"/>
    <xf numFmtId="0" fontId="14" fillId="0" borderId="20" xfId="0" applyFont="1" applyBorder="1"/>
    <xf numFmtId="0" fontId="14" fillId="0" borderId="0" xfId="0" applyFont="1"/>
    <xf numFmtId="0" fontId="3" fillId="0" borderId="20" xfId="0" applyFont="1" applyBorder="1"/>
    <xf numFmtId="0" fontId="14" fillId="0" borderId="0" xfId="0" applyFont="1" applyAlignment="1">
      <alignment wrapText="1"/>
    </xf>
    <xf numFmtId="0" fontId="14" fillId="0" borderId="0" xfId="0" quotePrefix="1" applyFont="1"/>
    <xf numFmtId="0" fontId="16" fillId="0" borderId="0" xfId="1"/>
    <xf numFmtId="0" fontId="11" fillId="0" borderId="4" xfId="0" applyFont="1" applyBorder="1" applyAlignment="1">
      <alignment horizontal="center"/>
    </xf>
    <xf numFmtId="0" fontId="4" fillId="0" borderId="14" xfId="0" applyFont="1" applyBorder="1"/>
    <xf numFmtId="0" fontId="4" fillId="0" borderId="5" xfId="0" applyFont="1" applyBorder="1"/>
    <xf numFmtId="0" fontId="12" fillId="0" borderId="4" xfId="0" applyFont="1" applyBorder="1" applyAlignment="1">
      <alignment wrapText="1"/>
    </xf>
    <xf numFmtId="0" fontId="15" fillId="3" borderId="6" xfId="0" applyFont="1" applyFill="1" applyBorder="1" applyAlignment="1">
      <alignment vertical="center" wrapText="1"/>
    </xf>
    <xf numFmtId="0" fontId="4" fillId="0" borderId="9" xfId="0" applyFont="1" applyBorder="1"/>
    <xf numFmtId="0" fontId="4" fillId="0" borderId="7" xfId="0" applyFont="1" applyBorder="1"/>
    <xf numFmtId="0" fontId="4" fillId="0" borderId="10" xfId="0" applyFont="1" applyBorder="1"/>
    <xf numFmtId="0" fontId="4" fillId="0" borderId="13" xfId="0" applyFont="1" applyBorder="1"/>
    <xf numFmtId="0" fontId="4" fillId="0" borderId="11" xfId="0" applyFont="1" applyBorder="1"/>
    <xf numFmtId="0" fontId="9" fillId="3" borderId="8" xfId="0" applyFont="1" applyFill="1" applyBorder="1" applyAlignment="1">
      <alignment vertical="center"/>
    </xf>
    <xf numFmtId="0" fontId="4" fillId="0" borderId="12" xfId="0" applyFont="1" applyBorder="1"/>
    <xf numFmtId="0" fontId="3" fillId="0" borderId="9" xfId="0" applyFont="1" applyBorder="1" applyAlignment="1">
      <alignment horizontal="left" vertical="center"/>
    </xf>
    <xf numFmtId="0" fontId="15" fillId="0" borderId="4" xfId="0" applyFont="1" applyBorder="1"/>
    <xf numFmtId="14" fontId="15" fillId="0" borderId="4" xfId="0" applyNumberFormat="1" applyFont="1" applyBorder="1"/>
    <xf numFmtId="0" fontId="9" fillId="0" borderId="6" xfId="0" applyFont="1" applyBorder="1" applyAlignment="1">
      <alignment horizontal="left" vertical="center"/>
    </xf>
    <xf numFmtId="0" fontId="9" fillId="0" borderId="9" xfId="0" applyFont="1" applyBorder="1"/>
    <xf numFmtId="0" fontId="9" fillId="0" borderId="0" xfId="0" applyFont="1"/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0" borderId="2" xfId="0" applyFont="1" applyBorder="1"/>
    <xf numFmtId="0" fontId="4" fillId="0" borderId="3" xfId="0" applyFont="1" applyBorder="1"/>
    <xf numFmtId="0" fontId="5" fillId="0" borderId="0" xfId="0" applyFont="1" applyAlignment="1">
      <alignment wrapText="1"/>
    </xf>
    <xf numFmtId="0" fontId="7" fillId="0" borderId="0" xfId="0" applyFont="1" applyAlignment="1">
      <alignment horizontal="left"/>
    </xf>
    <xf numFmtId="14" fontId="3" fillId="3" borderId="4" xfId="0" applyNumberFormat="1" applyFont="1" applyFill="1" applyBorder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solid">
          <fgColor theme="5"/>
          <bgColor theme="5"/>
        </patternFill>
      </fill>
    </dxf>
    <dxf>
      <font>
        <color theme="1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eev@ithero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showGridLines="0" tabSelected="1" workbookViewId="0">
      <selection activeCell="H27" sqref="H27"/>
    </sheetView>
  </sheetViews>
  <sheetFormatPr defaultColWidth="14.42578125" defaultRowHeight="15" customHeight="1" x14ac:dyDescent="0.25"/>
  <cols>
    <col min="1" max="1" width="8.7109375" customWidth="1"/>
    <col min="2" max="2" width="12" customWidth="1"/>
    <col min="3" max="3" width="22.140625" customWidth="1"/>
    <col min="4" max="4" width="16.42578125" customWidth="1"/>
    <col min="5" max="5" width="44.7109375" customWidth="1"/>
    <col min="6" max="7" width="11.85546875" customWidth="1"/>
    <col min="8" max="8" width="33" customWidth="1"/>
    <col min="9" max="9" width="15.28515625" customWidth="1"/>
    <col min="10" max="10" width="17" hidden="1" customWidth="1"/>
    <col min="11" max="11" width="7.5703125" hidden="1" customWidth="1"/>
    <col min="12" max="12" width="8.42578125" customWidth="1"/>
    <col min="13" max="13" width="13.28515625" customWidth="1"/>
    <col min="14" max="15" width="8.7109375" customWidth="1"/>
    <col min="16" max="16" width="18.140625" customWidth="1"/>
    <col min="17" max="17" width="12.85546875" customWidth="1"/>
    <col min="18" max="21" width="8.7109375" customWidth="1"/>
    <col min="22" max="22" width="9.7109375" customWidth="1"/>
    <col min="23" max="28" width="8.7109375" customWidth="1"/>
  </cols>
  <sheetData>
    <row r="1" spans="1:28" ht="14.25" customHeight="1" x14ac:dyDescent="0.25"/>
    <row r="2" spans="1:28" ht="27.75" customHeight="1" x14ac:dyDescent="0.35">
      <c r="B2" s="58" t="s">
        <v>1</v>
      </c>
      <c r="C2" s="57"/>
      <c r="P2" s="59"/>
      <c r="Q2" s="60"/>
      <c r="R2" s="61"/>
    </row>
    <row r="3" spans="1:28" ht="14.25" customHeight="1" x14ac:dyDescent="0.3">
      <c r="O3" s="62"/>
      <c r="P3" s="57"/>
      <c r="Q3" s="57"/>
      <c r="R3" s="57"/>
      <c r="S3" s="57"/>
      <c r="T3" s="3"/>
      <c r="U3" s="3"/>
    </row>
    <row r="4" spans="1:28" ht="14.25" customHeight="1" x14ac:dyDescent="0.25">
      <c r="B4" s="4" t="s">
        <v>8</v>
      </c>
      <c r="P4" s="63"/>
      <c r="Q4" s="57"/>
      <c r="R4" s="57"/>
    </row>
    <row r="5" spans="1:28" ht="14.25" customHeight="1" x14ac:dyDescent="0.25">
      <c r="B5" s="64"/>
      <c r="C5" s="41"/>
    </row>
    <row r="6" spans="1:28" ht="14.25" customHeight="1" x14ac:dyDescent="0.35">
      <c r="B6" s="4"/>
      <c r="C6" s="5"/>
      <c r="D6" s="5"/>
    </row>
    <row r="7" spans="1:28" ht="14.25" customHeight="1" x14ac:dyDescent="0.25">
      <c r="B7" s="4" t="s">
        <v>9</v>
      </c>
      <c r="C7" s="4"/>
      <c r="D7" s="4" t="s">
        <v>10</v>
      </c>
      <c r="E7" s="4"/>
      <c r="F7" s="4" t="s">
        <v>11</v>
      </c>
    </row>
    <row r="8" spans="1:28" ht="15.75" customHeight="1" x14ac:dyDescent="0.25">
      <c r="B8" s="54" t="s">
        <v>12</v>
      </c>
      <c r="C8" s="45"/>
      <c r="D8" s="49" t="s">
        <v>14</v>
      </c>
      <c r="E8" s="45"/>
      <c r="F8" s="51" t="s">
        <v>16</v>
      </c>
      <c r="G8" s="44"/>
      <c r="H8" s="44"/>
      <c r="I8" s="45"/>
      <c r="J8" s="4"/>
      <c r="K8" s="4"/>
      <c r="L8" s="4"/>
      <c r="M8" s="4"/>
      <c r="O8" s="6"/>
    </row>
    <row r="9" spans="1:28" ht="15.75" customHeight="1" x14ac:dyDescent="0.25">
      <c r="B9" s="46"/>
      <c r="C9" s="48"/>
      <c r="D9" s="50"/>
      <c r="E9" s="48"/>
      <c r="F9" s="47"/>
      <c r="G9" s="47"/>
      <c r="H9" s="47"/>
      <c r="I9" s="48"/>
      <c r="J9" s="4"/>
      <c r="K9" s="4"/>
      <c r="L9" s="4"/>
      <c r="M9" s="4"/>
    </row>
    <row r="10" spans="1:28" ht="15.75" customHeight="1" x14ac:dyDescent="0.25">
      <c r="B10" s="7"/>
      <c r="C10" s="7"/>
      <c r="D10" s="8"/>
      <c r="E10" s="8"/>
      <c r="F10" s="8"/>
      <c r="G10" s="8"/>
    </row>
    <row r="11" spans="1:28" ht="14.25" customHeight="1" x14ac:dyDescent="0.25">
      <c r="B11" s="55" t="s">
        <v>22</v>
      </c>
      <c r="C11" s="44"/>
      <c r="D11" s="56" t="s">
        <v>22</v>
      </c>
      <c r="E11" s="57"/>
      <c r="F11" s="4"/>
    </row>
    <row r="12" spans="1:28" ht="14.25" customHeight="1" x14ac:dyDescent="0.25">
      <c r="B12" s="39" t="s">
        <v>23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1"/>
      <c r="O12" s="39" t="s">
        <v>24</v>
      </c>
      <c r="P12" s="40"/>
      <c r="Q12" s="41"/>
      <c r="S12" s="10" t="s">
        <v>25</v>
      </c>
      <c r="T12" s="11"/>
      <c r="U12" s="12"/>
      <c r="V12" s="13"/>
    </row>
    <row r="13" spans="1:28" ht="43.5" customHeight="1" x14ac:dyDescent="0.25">
      <c r="A13" s="14"/>
      <c r="B13" s="15" t="s">
        <v>26</v>
      </c>
      <c r="C13" s="15" t="s">
        <v>27</v>
      </c>
      <c r="D13" s="15" t="s">
        <v>28</v>
      </c>
      <c r="E13" s="15" t="s">
        <v>29</v>
      </c>
      <c r="F13" s="15" t="s">
        <v>30</v>
      </c>
      <c r="G13" s="16" t="s">
        <v>31</v>
      </c>
      <c r="H13" s="15" t="s">
        <v>32</v>
      </c>
      <c r="I13" s="17" t="s">
        <v>33</v>
      </c>
      <c r="J13" s="17" t="s">
        <v>34</v>
      </c>
      <c r="K13" s="17" t="s">
        <v>35</v>
      </c>
      <c r="L13" s="15" t="s">
        <v>36</v>
      </c>
      <c r="M13" s="15" t="s">
        <v>37</v>
      </c>
      <c r="N13" s="14"/>
      <c r="O13" s="18" t="s">
        <v>38</v>
      </c>
      <c r="P13" s="18" t="s">
        <v>39</v>
      </c>
      <c r="Q13" s="18" t="s">
        <v>40</v>
      </c>
      <c r="R13" s="14"/>
      <c r="S13" s="18" t="s">
        <v>41</v>
      </c>
      <c r="T13" s="18" t="s">
        <v>42</v>
      </c>
      <c r="U13" s="18" t="s">
        <v>43</v>
      </c>
      <c r="V13" s="19" t="s">
        <v>44</v>
      </c>
      <c r="W13" s="14"/>
      <c r="X13" s="14"/>
      <c r="Y13" s="14"/>
      <c r="Z13" s="14"/>
      <c r="AA13" s="14"/>
      <c r="AB13" s="14"/>
    </row>
    <row r="14" spans="1:28" ht="30" customHeight="1" x14ac:dyDescent="0.25">
      <c r="B14" s="20" t="s">
        <v>45</v>
      </c>
      <c r="C14" s="21"/>
      <c r="D14" s="21"/>
      <c r="E14" s="21"/>
      <c r="F14" s="22"/>
      <c r="G14" s="22"/>
      <c r="H14" s="23"/>
      <c r="I14" s="24">
        <f t="shared" ref="I14:I20" si="0">IF(G14 &gt;= F14, G14-F14, G14+1-F14)*24 - J14-K14</f>
        <v>0</v>
      </c>
      <c r="J14" s="24">
        <f>IF(ISBLANK(H14),0,VLOOKUP(H14,Sheet1!$C$2:$E$10,2,FALSE))</f>
        <v>0</v>
      </c>
      <c r="K14" s="24">
        <f>IF(ISBLANK(H14),0,VLOOKUP(H14,Sheet1!$C$2:$F$10,4,FALSE))</f>
        <v>0</v>
      </c>
      <c r="L14" s="25"/>
      <c r="M14" s="24">
        <f t="shared" ref="M14:M20" si="1">I14-L14</f>
        <v>0</v>
      </c>
      <c r="O14" s="26"/>
      <c r="P14" s="26"/>
      <c r="Q14" s="27">
        <f t="shared" ref="Q14:Q20" si="2">P14-O14</f>
        <v>0</v>
      </c>
      <c r="S14" s="26"/>
      <c r="T14" s="26"/>
      <c r="U14" s="26"/>
      <c r="V14" s="27">
        <f t="shared" ref="V14:V20" si="3">COUNTIF(S14:U14,"Yes")</f>
        <v>0</v>
      </c>
    </row>
    <row r="15" spans="1:28" ht="30" customHeight="1" x14ac:dyDescent="0.25">
      <c r="B15" s="20" t="s">
        <v>46</v>
      </c>
      <c r="C15" s="21" t="s">
        <v>73</v>
      </c>
      <c r="D15" s="21" t="s">
        <v>73</v>
      </c>
      <c r="E15" s="21" t="s">
        <v>74</v>
      </c>
      <c r="F15" s="22">
        <v>0.35416666666666702</v>
      </c>
      <c r="G15" s="22">
        <v>0.66666666666666696</v>
      </c>
      <c r="H15" s="23" t="s">
        <v>13</v>
      </c>
      <c r="I15" s="24">
        <f t="shared" si="0"/>
        <v>6.9999999999999982</v>
      </c>
      <c r="J15" s="24">
        <f>IF(ISBLANK(H15),0,VLOOKUP(H15,Sheet1!$C$2:$E$10,2,FALSE))</f>
        <v>0</v>
      </c>
      <c r="K15" s="24">
        <f>IF(ISBLANK(H15),0,VLOOKUP(H15,Sheet1!$C$2:$F$10,4,FALSE))</f>
        <v>0.5</v>
      </c>
      <c r="L15" s="25"/>
      <c r="M15" s="24">
        <f t="shared" si="1"/>
        <v>6.9999999999999982</v>
      </c>
      <c r="O15" s="26"/>
      <c r="P15" s="26"/>
      <c r="Q15" s="27">
        <f t="shared" si="2"/>
        <v>0</v>
      </c>
      <c r="S15" s="26"/>
      <c r="T15" s="26"/>
      <c r="U15" s="26"/>
      <c r="V15" s="27">
        <f t="shared" si="3"/>
        <v>0</v>
      </c>
    </row>
    <row r="16" spans="1:28" ht="30" customHeight="1" x14ac:dyDescent="0.25">
      <c r="B16" s="20" t="s">
        <v>47</v>
      </c>
      <c r="C16" s="21"/>
      <c r="D16" s="21"/>
      <c r="E16" s="21"/>
      <c r="F16" s="22"/>
      <c r="G16" s="22"/>
      <c r="H16" s="23"/>
      <c r="I16" s="24">
        <f t="shared" si="0"/>
        <v>0</v>
      </c>
      <c r="J16" s="24">
        <f>IF(ISBLANK(H16),0,VLOOKUP(H16,Sheet1!$C$2:$E$10,2,FALSE))</f>
        <v>0</v>
      </c>
      <c r="K16" s="24">
        <f>IF(ISBLANK(H16),0,VLOOKUP(H16,Sheet1!$C$2:$F$10,4,FALSE))</f>
        <v>0</v>
      </c>
      <c r="L16" s="25"/>
      <c r="M16" s="24">
        <f t="shared" si="1"/>
        <v>0</v>
      </c>
      <c r="O16" s="26"/>
      <c r="P16" s="26"/>
      <c r="Q16" s="27">
        <f t="shared" si="2"/>
        <v>0</v>
      </c>
      <c r="S16" s="26"/>
      <c r="T16" s="26"/>
      <c r="U16" s="26"/>
      <c r="V16" s="27">
        <f t="shared" si="3"/>
        <v>0</v>
      </c>
    </row>
    <row r="17" spans="2:22" ht="30" customHeight="1" x14ac:dyDescent="0.25">
      <c r="B17" s="20" t="s">
        <v>48</v>
      </c>
      <c r="C17" s="21"/>
      <c r="D17" s="21"/>
      <c r="E17" s="21"/>
      <c r="F17" s="22"/>
      <c r="G17" s="22"/>
      <c r="H17" s="23"/>
      <c r="I17" s="24">
        <f t="shared" si="0"/>
        <v>0</v>
      </c>
      <c r="J17" s="24">
        <f>IF(ISBLANK(H17),0,VLOOKUP(H17,Sheet1!$C$2:$E$10,2,FALSE))</f>
        <v>0</v>
      </c>
      <c r="K17" s="24">
        <f>IF(ISBLANK(H17),0,VLOOKUP(H17,Sheet1!$C$2:$F$10,4,FALSE))</f>
        <v>0</v>
      </c>
      <c r="L17" s="25"/>
      <c r="M17" s="24">
        <f t="shared" si="1"/>
        <v>0</v>
      </c>
      <c r="O17" s="26"/>
      <c r="P17" s="26"/>
      <c r="Q17" s="27">
        <f t="shared" si="2"/>
        <v>0</v>
      </c>
      <c r="S17" s="26"/>
      <c r="T17" s="26"/>
      <c r="U17" s="26"/>
      <c r="V17" s="27">
        <f t="shared" si="3"/>
        <v>0</v>
      </c>
    </row>
    <row r="18" spans="2:22" ht="30" customHeight="1" x14ac:dyDescent="0.25">
      <c r="B18" s="28" t="s">
        <v>49</v>
      </c>
      <c r="C18" s="21"/>
      <c r="D18" s="29"/>
      <c r="E18" s="21"/>
      <c r="F18" s="22"/>
      <c r="G18" s="22"/>
      <c r="H18" s="23"/>
      <c r="I18" s="24">
        <f t="shared" si="0"/>
        <v>0</v>
      </c>
      <c r="J18" s="24">
        <f>IF(ISBLANK(H18),0,VLOOKUP(H18,Sheet1!$C$2:$E$10,2,FALSE))</f>
        <v>0</v>
      </c>
      <c r="K18" s="24">
        <f>IF(ISBLANK(H18),0,VLOOKUP(H18,Sheet1!$C$2:$F$10,4,FALSE))</f>
        <v>0</v>
      </c>
      <c r="L18" s="25"/>
      <c r="M18" s="24">
        <f t="shared" si="1"/>
        <v>0</v>
      </c>
      <c r="O18" s="26"/>
      <c r="P18" s="26"/>
      <c r="Q18" s="27">
        <f t="shared" si="2"/>
        <v>0</v>
      </c>
      <c r="S18" s="26"/>
      <c r="T18" s="26"/>
      <c r="U18" s="26"/>
      <c r="V18" s="27">
        <f t="shared" si="3"/>
        <v>0</v>
      </c>
    </row>
    <row r="19" spans="2:22" ht="30" customHeight="1" x14ac:dyDescent="0.25">
      <c r="B19" s="20" t="s">
        <v>50</v>
      </c>
      <c r="C19" s="21" t="s">
        <v>70</v>
      </c>
      <c r="D19" s="21" t="s">
        <v>71</v>
      </c>
      <c r="E19" s="21" t="s">
        <v>72</v>
      </c>
      <c r="F19" s="22">
        <v>0.375</v>
      </c>
      <c r="G19" s="22">
        <v>4.1666666666666699E-2</v>
      </c>
      <c r="H19" s="23" t="s">
        <v>15</v>
      </c>
      <c r="I19" s="24">
        <f t="shared" si="0"/>
        <v>15.25</v>
      </c>
      <c r="J19" s="24">
        <f>IF(ISBLANK(H19),0,VLOOKUP(H19,Sheet1!$C$2:$E$10,2,FALSE))</f>
        <v>0</v>
      </c>
      <c r="K19" s="24">
        <f>IF(ISBLANK(H19),0,VLOOKUP(H19,Sheet1!$C$2:$F$10,4,FALSE))</f>
        <v>0.75</v>
      </c>
      <c r="L19" s="25"/>
      <c r="M19" s="24">
        <f t="shared" si="1"/>
        <v>15.25</v>
      </c>
      <c r="O19" s="26"/>
      <c r="P19" s="26"/>
      <c r="Q19" s="27">
        <f t="shared" si="2"/>
        <v>0</v>
      </c>
      <c r="S19" s="26"/>
      <c r="T19" s="26"/>
      <c r="U19" s="26"/>
      <c r="V19" s="27">
        <f t="shared" si="3"/>
        <v>0</v>
      </c>
    </row>
    <row r="20" spans="2:22" ht="30" customHeight="1" x14ac:dyDescent="0.25">
      <c r="B20" s="20" t="s">
        <v>51</v>
      </c>
      <c r="C20" s="21" t="s">
        <v>76</v>
      </c>
      <c r="D20" s="21">
        <v>2155</v>
      </c>
      <c r="E20" s="21" t="s">
        <v>77</v>
      </c>
      <c r="F20" s="22">
        <v>0.69791666666666696</v>
      </c>
      <c r="G20" s="22">
        <v>0.95833333333333703</v>
      </c>
      <c r="H20" s="23" t="s">
        <v>6</v>
      </c>
      <c r="I20" s="24">
        <f t="shared" si="0"/>
        <v>6.2500000000000817</v>
      </c>
      <c r="J20" s="24">
        <f>IF(ISBLANK(H20),0,VLOOKUP(H20,Sheet1!$C$2:$E$10,2,FALSE))</f>
        <v>0</v>
      </c>
      <c r="K20" s="24">
        <f>IF(ISBLANK(H20),0,VLOOKUP(H20,Sheet1!$C$2:$F$10,4,FALSE))</f>
        <v>0</v>
      </c>
      <c r="L20" s="25"/>
      <c r="M20" s="24">
        <f t="shared" si="1"/>
        <v>6.2500000000000817</v>
      </c>
      <c r="O20" s="26"/>
      <c r="P20" s="26"/>
      <c r="Q20" s="27">
        <f t="shared" si="2"/>
        <v>0</v>
      </c>
      <c r="S20" s="26"/>
      <c r="T20" s="26"/>
      <c r="U20" s="26"/>
      <c r="V20" s="27">
        <f t="shared" si="3"/>
        <v>0</v>
      </c>
    </row>
    <row r="21" spans="2:22" ht="14.25" customHeight="1" x14ac:dyDescent="0.25">
      <c r="B21" s="42" t="s">
        <v>52</v>
      </c>
      <c r="C21" s="40"/>
      <c r="D21" s="40"/>
      <c r="E21" s="40"/>
      <c r="F21" s="40"/>
      <c r="G21" s="41"/>
      <c r="H21" s="30">
        <f t="shared" ref="H21:I21" si="4">SUM(H14:H20)</f>
        <v>0</v>
      </c>
      <c r="I21" s="30">
        <f t="shared" si="4"/>
        <v>28.500000000000082</v>
      </c>
      <c r="J21" s="30"/>
      <c r="K21" s="30"/>
      <c r="L21" s="30">
        <f t="shared" ref="L21:M21" si="5">SUM(L14:L20)</f>
        <v>0</v>
      </c>
      <c r="M21" s="31">
        <f t="shared" si="5"/>
        <v>28.500000000000082</v>
      </c>
      <c r="P21" s="27" t="s">
        <v>53</v>
      </c>
      <c r="Q21" s="27">
        <f>SUM(Q14:Q20)</f>
        <v>0</v>
      </c>
      <c r="S21" s="32" t="s">
        <v>44</v>
      </c>
      <c r="T21" s="12"/>
      <c r="U21" s="13"/>
      <c r="V21" s="27">
        <f>SUM(V14:V20)</f>
        <v>0</v>
      </c>
    </row>
    <row r="22" spans="2:22" ht="14.25" customHeight="1" x14ac:dyDescent="0.25">
      <c r="B22" s="33"/>
      <c r="C22" s="34"/>
      <c r="D22" s="34"/>
      <c r="E22" s="34"/>
      <c r="F22" s="34"/>
      <c r="G22" s="34"/>
      <c r="S22" s="4"/>
    </row>
    <row r="23" spans="2:22" ht="14.25" customHeight="1" x14ac:dyDescent="0.25">
      <c r="B23" s="33" t="s">
        <v>54</v>
      </c>
      <c r="C23" s="9" t="str">
        <f t="array" ref="C23">IF(SUMPRODUCT(--((MMULT(--(C14:H20&lt;&gt;""),TRANSPOSE(COLUMN(C14:H14)^0))&gt;0) * (MMULT(--(C14:H20=""),TRANSPOSE(COLUMN(C14:H14)^0))&gt;0)))&gt;0, "Incomplete Table", "Good to send")</f>
        <v>Good to send</v>
      </c>
      <c r="D23" s="34"/>
      <c r="E23" s="34"/>
      <c r="F23" s="34"/>
      <c r="G23" s="34"/>
    </row>
    <row r="24" spans="2:22" ht="14.25" customHeight="1" x14ac:dyDescent="0.25">
      <c r="B24" s="33"/>
      <c r="C24" s="34"/>
      <c r="D24" s="34"/>
      <c r="E24" s="34"/>
      <c r="F24" s="34"/>
      <c r="G24" s="34"/>
    </row>
    <row r="25" spans="2:22" ht="14.25" customHeight="1" x14ac:dyDescent="0.25">
      <c r="B25" s="35" t="s">
        <v>55</v>
      </c>
      <c r="C25" s="34"/>
      <c r="D25" s="34"/>
      <c r="E25" s="34"/>
      <c r="F25" s="34"/>
      <c r="G25" s="34"/>
      <c r="P25" s="27" t="s">
        <v>56</v>
      </c>
      <c r="Q25" s="26"/>
    </row>
    <row r="26" spans="2:22" ht="15.75" customHeight="1" x14ac:dyDescent="0.25">
      <c r="B26" s="43" t="s">
        <v>75</v>
      </c>
      <c r="C26" s="44"/>
      <c r="D26" s="44"/>
      <c r="E26" s="44"/>
      <c r="F26" s="44"/>
      <c r="G26" s="45"/>
    </row>
    <row r="27" spans="2:22" ht="64.5" customHeight="1" x14ac:dyDescent="0.25">
      <c r="B27" s="46"/>
      <c r="C27" s="47"/>
      <c r="D27" s="47"/>
      <c r="E27" s="47"/>
      <c r="F27" s="47"/>
      <c r="G27" s="48"/>
    </row>
    <row r="28" spans="2:22" ht="14.25" customHeight="1" x14ac:dyDescent="0.25">
      <c r="B28" s="33"/>
      <c r="C28" s="34"/>
      <c r="D28" s="34"/>
      <c r="E28" s="34"/>
      <c r="F28" s="34"/>
      <c r="G28" s="34"/>
    </row>
    <row r="29" spans="2:22" ht="14.25" customHeight="1" x14ac:dyDescent="0.25">
      <c r="B29" s="35" t="s">
        <v>57</v>
      </c>
      <c r="C29" s="34"/>
      <c r="D29" s="34"/>
      <c r="E29" s="34"/>
      <c r="F29" s="4" t="s">
        <v>58</v>
      </c>
      <c r="G29" s="34"/>
    </row>
    <row r="30" spans="2:22" ht="14.25" customHeight="1" x14ac:dyDescent="0.25">
      <c r="B30" s="52" t="s">
        <v>59</v>
      </c>
      <c r="C30" s="40"/>
      <c r="D30" s="40"/>
      <c r="E30" s="41"/>
      <c r="F30" s="53">
        <v>46274</v>
      </c>
      <c r="G30" s="41"/>
    </row>
    <row r="31" spans="2:22" ht="14.25" customHeight="1" x14ac:dyDescent="0.25">
      <c r="B31" s="34"/>
      <c r="C31" s="34"/>
      <c r="D31" s="34"/>
      <c r="E31" s="34"/>
      <c r="F31" s="34"/>
      <c r="G31" s="34"/>
    </row>
    <row r="32" spans="2:22" ht="14.25" customHeight="1" x14ac:dyDescent="0.25">
      <c r="B32" s="34"/>
      <c r="C32" s="34"/>
      <c r="D32" s="34"/>
      <c r="E32" s="34"/>
      <c r="F32" s="34"/>
      <c r="G32" s="34"/>
    </row>
    <row r="33" spans="2:7" ht="14.25" customHeight="1" x14ac:dyDescent="0.25">
      <c r="B33" s="35" t="s">
        <v>60</v>
      </c>
      <c r="C33" s="34"/>
      <c r="D33" s="34"/>
      <c r="E33" s="34"/>
      <c r="F33" s="4" t="s">
        <v>58</v>
      </c>
      <c r="G33" s="34"/>
    </row>
    <row r="34" spans="2:7" ht="14.25" customHeight="1" x14ac:dyDescent="0.25">
      <c r="B34" s="52" t="s">
        <v>22</v>
      </c>
      <c r="C34" s="40"/>
      <c r="D34" s="40"/>
      <c r="E34" s="41"/>
      <c r="F34" s="52" t="s">
        <v>22</v>
      </c>
      <c r="G34" s="41"/>
    </row>
    <row r="35" spans="2:7" ht="14.25" customHeight="1" x14ac:dyDescent="0.25">
      <c r="B35" s="34"/>
      <c r="C35" s="34"/>
      <c r="D35" s="34"/>
      <c r="E35" s="34"/>
      <c r="F35" s="34"/>
      <c r="G35" s="34"/>
    </row>
    <row r="36" spans="2:7" ht="14.25" customHeight="1" x14ac:dyDescent="0.25">
      <c r="B36" s="34"/>
      <c r="C36" s="34"/>
      <c r="D36" s="34"/>
      <c r="E36" s="34"/>
      <c r="F36" s="34"/>
      <c r="G36" s="34"/>
    </row>
    <row r="37" spans="2:7" ht="14.25" customHeight="1" x14ac:dyDescent="0.25">
      <c r="B37" s="36" t="s">
        <v>61</v>
      </c>
      <c r="C37" s="34"/>
      <c r="D37" s="34"/>
      <c r="E37" s="34"/>
      <c r="F37" s="34"/>
      <c r="G37" s="34"/>
    </row>
    <row r="38" spans="2:7" ht="14.25" customHeight="1" x14ac:dyDescent="0.25">
      <c r="B38" s="34" t="s">
        <v>62</v>
      </c>
      <c r="C38" s="34"/>
      <c r="D38" s="34"/>
      <c r="E38" s="34"/>
      <c r="F38" s="34"/>
      <c r="G38" s="34"/>
    </row>
    <row r="39" spans="2:7" ht="14.25" customHeight="1" x14ac:dyDescent="0.25">
      <c r="B39" s="37" t="s">
        <v>63</v>
      </c>
      <c r="C39" s="34"/>
      <c r="D39" s="34"/>
      <c r="E39" s="34"/>
      <c r="F39" s="34"/>
      <c r="G39" s="34"/>
    </row>
    <row r="40" spans="2:7" ht="14.25" customHeight="1" x14ac:dyDescent="0.25">
      <c r="B40" s="37" t="s">
        <v>64</v>
      </c>
      <c r="C40" s="34"/>
      <c r="D40" s="34"/>
      <c r="E40" s="34"/>
      <c r="F40" s="34"/>
      <c r="G40" s="34"/>
    </row>
    <row r="41" spans="2:7" ht="14.25" customHeight="1" x14ac:dyDescent="0.25">
      <c r="B41" s="37" t="s">
        <v>65</v>
      </c>
      <c r="C41" s="34"/>
      <c r="D41" s="34"/>
      <c r="E41" s="34"/>
      <c r="F41" s="34"/>
      <c r="G41" s="34"/>
    </row>
    <row r="42" spans="2:7" ht="14.25" customHeight="1" x14ac:dyDescent="0.25">
      <c r="B42" s="37" t="s">
        <v>66</v>
      </c>
      <c r="C42" s="34"/>
      <c r="D42" s="34"/>
      <c r="E42" s="34"/>
      <c r="F42" s="34"/>
      <c r="G42" s="34"/>
    </row>
    <row r="43" spans="2:7" ht="14.25" customHeight="1" x14ac:dyDescent="0.25">
      <c r="B43" s="34" t="s">
        <v>67</v>
      </c>
      <c r="C43" s="34"/>
      <c r="D43" s="34"/>
      <c r="E43" s="34"/>
      <c r="F43" s="34"/>
      <c r="G43" s="34"/>
    </row>
    <row r="44" spans="2:7" ht="14.25" customHeight="1" x14ac:dyDescent="0.25">
      <c r="C44" s="34"/>
      <c r="D44" s="34"/>
      <c r="E44" s="34"/>
      <c r="F44" s="34"/>
      <c r="G44" s="34"/>
    </row>
    <row r="45" spans="2:7" ht="14.25" customHeight="1" x14ac:dyDescent="0.25">
      <c r="B45" s="4"/>
    </row>
    <row r="46" spans="2:7" ht="14.25" customHeight="1" x14ac:dyDescent="0.25">
      <c r="B46" s="4" t="s">
        <v>69</v>
      </c>
    </row>
    <row r="47" spans="2:7" ht="14.25" customHeight="1" x14ac:dyDescent="0.25">
      <c r="B47" s="38" t="s">
        <v>68</v>
      </c>
    </row>
    <row r="48" spans="2:7" ht="14.25" customHeight="1" x14ac:dyDescent="0.25">
      <c r="B48" s="4"/>
    </row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B2:C2"/>
    <mergeCell ref="P2:R2"/>
    <mergeCell ref="O3:S3"/>
    <mergeCell ref="P4:R4"/>
    <mergeCell ref="B5:C5"/>
    <mergeCell ref="B30:E30"/>
    <mergeCell ref="F30:G30"/>
    <mergeCell ref="B34:E34"/>
    <mergeCell ref="F34:G34"/>
    <mergeCell ref="B8:C9"/>
    <mergeCell ref="B11:C11"/>
    <mergeCell ref="D11:E11"/>
    <mergeCell ref="B12:M12"/>
    <mergeCell ref="O12:Q12"/>
    <mergeCell ref="B21:G21"/>
    <mergeCell ref="B26:G27"/>
    <mergeCell ref="D8:E9"/>
    <mergeCell ref="F8:I9"/>
  </mergeCells>
  <conditionalFormatting sqref="B5:C5">
    <cfRule type="expression" dxfId="3" priority="1">
      <formula>ISBLANK($B$5)</formula>
    </cfRule>
  </conditionalFormatting>
  <conditionalFormatting sqref="C14:H20">
    <cfRule type="expression" dxfId="2" priority="2">
      <formula>COUNTA($C14:$H14)=COLUMNS($C14:$H14)</formula>
    </cfRule>
    <cfRule type="expression" dxfId="1" priority="3">
      <formula>AND(COUNTA($C14:$H14)&gt;0, COUNTBLANK($C14:$H14)&gt;0)</formula>
    </cfRule>
  </conditionalFormatting>
  <conditionalFormatting sqref="D8:E9">
    <cfRule type="expression" dxfId="0" priority="4">
      <formula>ISBLANK($D$8)</formula>
    </cfRule>
  </conditionalFormatting>
  <dataValidations count="1">
    <dataValidation type="list" allowBlank="1" showErrorMessage="1" sqref="S14:U20" xr:uid="{00000000-0002-0000-0000-000000000000}">
      <formula1>"Yes,No"</formula1>
    </dataValidation>
  </dataValidations>
  <hyperlinks>
    <hyperlink ref="B47" r:id="rId1" xr:uid="{D9C942D8-7286-4797-AA80-34DF1502F0D1}"/>
  </hyperlink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Sheet1!$C$2:$C$10</xm:f>
          </x14:formula1>
          <xm:sqref>H14:H20</xm:sqref>
        </x14:dataValidation>
        <x14:dataValidation type="list" allowBlank="1" showErrorMessage="1" xr:uid="{00000000-0002-0000-0000-000002000000}">
          <x14:formula1>
            <xm:f>Sheet1!$A$2:$A$97</xm:f>
          </x14:formula1>
          <xm:sqref>F14:G20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defaultColWidth="14.42578125" defaultRowHeight="15" customHeight="1" x14ac:dyDescent="0.25"/>
  <cols>
    <col min="1" max="2" width="8.7109375" customWidth="1"/>
    <col min="3" max="3" width="33.7109375" customWidth="1"/>
    <col min="4" max="4" width="10.140625" customWidth="1"/>
    <col min="5" max="26" width="8.7109375" customWidth="1"/>
  </cols>
  <sheetData>
    <row r="1" spans="1:6" x14ac:dyDescent="0.25">
      <c r="A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0</v>
      </c>
      <c r="C2" s="1" t="s">
        <v>6</v>
      </c>
      <c r="D2" s="1">
        <v>0</v>
      </c>
      <c r="E2" s="1">
        <v>0</v>
      </c>
      <c r="F2" s="1">
        <v>0</v>
      </c>
    </row>
    <row r="3" spans="1:6" x14ac:dyDescent="0.25">
      <c r="A3" s="2">
        <v>1.0416666666666666E-2</v>
      </c>
      <c r="C3" s="1" t="s">
        <v>7</v>
      </c>
      <c r="D3" s="1">
        <f t="shared" ref="D3:D10" si="0">VALUE(LEFT(C3,FIND(" Hour",C3)-1))</f>
        <v>0</v>
      </c>
      <c r="E3" s="1">
        <f t="shared" ref="E3:E10" si="1">VALUE(MID(C3,FIND("Hour",C3)+5,FIND("Minute",C3)-FIND("Hour",C3)-5))</f>
        <v>15</v>
      </c>
      <c r="F3" s="1">
        <v>0.25</v>
      </c>
    </row>
    <row r="4" spans="1:6" x14ac:dyDescent="0.25">
      <c r="A4" s="2">
        <v>2.0833333333333332E-2</v>
      </c>
      <c r="C4" s="1" t="s">
        <v>13</v>
      </c>
      <c r="D4" s="1">
        <f t="shared" si="0"/>
        <v>0</v>
      </c>
      <c r="E4" s="1">
        <f t="shared" si="1"/>
        <v>30</v>
      </c>
      <c r="F4" s="1">
        <v>0.5</v>
      </c>
    </row>
    <row r="5" spans="1:6" x14ac:dyDescent="0.25">
      <c r="A5" s="2">
        <v>3.125E-2</v>
      </c>
      <c r="C5" s="1" t="s">
        <v>15</v>
      </c>
      <c r="D5" s="1">
        <f t="shared" si="0"/>
        <v>0</v>
      </c>
      <c r="E5" s="1">
        <f t="shared" si="1"/>
        <v>45</v>
      </c>
      <c r="F5" s="1">
        <v>0.75</v>
      </c>
    </row>
    <row r="6" spans="1:6" x14ac:dyDescent="0.25">
      <c r="A6" s="2">
        <v>4.1666666666666699E-2</v>
      </c>
      <c r="C6" s="1" t="s">
        <v>17</v>
      </c>
      <c r="D6" s="1">
        <f t="shared" si="0"/>
        <v>1</v>
      </c>
      <c r="E6" s="1">
        <f t="shared" si="1"/>
        <v>0</v>
      </c>
      <c r="F6" s="1">
        <v>0</v>
      </c>
    </row>
    <row r="7" spans="1:6" x14ac:dyDescent="0.25">
      <c r="A7" s="2">
        <v>5.2083333333333301E-2</v>
      </c>
      <c r="C7" s="1" t="s">
        <v>18</v>
      </c>
      <c r="D7" s="1">
        <f t="shared" si="0"/>
        <v>1</v>
      </c>
      <c r="E7" s="1">
        <f t="shared" si="1"/>
        <v>15</v>
      </c>
      <c r="F7" s="1">
        <v>0.25</v>
      </c>
    </row>
    <row r="8" spans="1:6" x14ac:dyDescent="0.25">
      <c r="A8" s="2">
        <v>6.25E-2</v>
      </c>
      <c r="C8" s="1" t="s">
        <v>19</v>
      </c>
      <c r="D8" s="1">
        <f t="shared" si="0"/>
        <v>1</v>
      </c>
      <c r="E8" s="1">
        <f t="shared" si="1"/>
        <v>30</v>
      </c>
      <c r="F8" s="1">
        <v>0.5</v>
      </c>
    </row>
    <row r="9" spans="1:6" x14ac:dyDescent="0.25">
      <c r="A9" s="2">
        <v>7.2916666666666699E-2</v>
      </c>
      <c r="C9" s="1" t="s">
        <v>20</v>
      </c>
      <c r="D9" s="1">
        <f t="shared" si="0"/>
        <v>1</v>
      </c>
      <c r="E9" s="1">
        <f t="shared" si="1"/>
        <v>45</v>
      </c>
      <c r="F9" s="1">
        <v>0.75</v>
      </c>
    </row>
    <row r="10" spans="1:6" x14ac:dyDescent="0.25">
      <c r="A10" s="2">
        <v>8.3333333333333301E-2</v>
      </c>
      <c r="C10" s="1" t="s">
        <v>21</v>
      </c>
      <c r="D10" s="1">
        <f t="shared" si="0"/>
        <v>2</v>
      </c>
      <c r="E10" s="1">
        <f t="shared" si="1"/>
        <v>0</v>
      </c>
      <c r="F10" s="1">
        <v>0</v>
      </c>
    </row>
    <row r="11" spans="1:6" x14ac:dyDescent="0.25">
      <c r="A11" s="2">
        <v>9.375E-2</v>
      </c>
    </row>
    <row r="12" spans="1:6" x14ac:dyDescent="0.25">
      <c r="A12" s="2">
        <v>0.104166666666667</v>
      </c>
    </row>
    <row r="13" spans="1:6" x14ac:dyDescent="0.25">
      <c r="A13" s="2">
        <v>0.114583333333333</v>
      </c>
    </row>
    <row r="14" spans="1:6" x14ac:dyDescent="0.25">
      <c r="A14" s="2">
        <v>0.125</v>
      </c>
    </row>
    <row r="15" spans="1:6" x14ac:dyDescent="0.25">
      <c r="A15" s="2">
        <v>0.13541666666666699</v>
      </c>
    </row>
    <row r="16" spans="1:6" x14ac:dyDescent="0.25">
      <c r="A16" s="2">
        <v>0.14583333333333301</v>
      </c>
    </row>
    <row r="17" spans="1:1" x14ac:dyDescent="0.25">
      <c r="A17" s="2">
        <v>0.15625</v>
      </c>
    </row>
    <row r="18" spans="1:1" x14ac:dyDescent="0.25">
      <c r="A18" s="2">
        <v>0.16666666666666699</v>
      </c>
    </row>
    <row r="19" spans="1:1" x14ac:dyDescent="0.25">
      <c r="A19" s="2">
        <v>0.17708333333333301</v>
      </c>
    </row>
    <row r="20" spans="1:1" x14ac:dyDescent="0.25">
      <c r="A20" s="2">
        <v>0.1875</v>
      </c>
    </row>
    <row r="21" spans="1:1" ht="15.75" customHeight="1" x14ac:dyDescent="0.25">
      <c r="A21" s="2">
        <v>0.19791666666666699</v>
      </c>
    </row>
    <row r="22" spans="1:1" ht="15.75" customHeight="1" x14ac:dyDescent="0.25">
      <c r="A22" s="2">
        <v>0.20833333333333301</v>
      </c>
    </row>
    <row r="23" spans="1:1" ht="15.75" customHeight="1" x14ac:dyDescent="0.25">
      <c r="A23" s="2">
        <v>0.21875</v>
      </c>
    </row>
    <row r="24" spans="1:1" ht="15.75" customHeight="1" x14ac:dyDescent="0.25">
      <c r="A24" s="2">
        <v>0.22916666666666699</v>
      </c>
    </row>
    <row r="25" spans="1:1" ht="15.75" customHeight="1" x14ac:dyDescent="0.25">
      <c r="A25" s="2">
        <v>0.23958333333333301</v>
      </c>
    </row>
    <row r="26" spans="1:1" ht="15.75" customHeight="1" x14ac:dyDescent="0.25">
      <c r="A26" s="2">
        <v>0.25</v>
      </c>
    </row>
    <row r="27" spans="1:1" ht="15.75" customHeight="1" x14ac:dyDescent="0.25">
      <c r="A27" s="2">
        <v>0.26041666666666702</v>
      </c>
    </row>
    <row r="28" spans="1:1" ht="15.75" customHeight="1" x14ac:dyDescent="0.25">
      <c r="A28" s="2">
        <v>0.27083333333333298</v>
      </c>
    </row>
    <row r="29" spans="1:1" ht="15.75" customHeight="1" x14ac:dyDescent="0.25">
      <c r="A29" s="2">
        <v>0.28125</v>
      </c>
    </row>
    <row r="30" spans="1:1" ht="15.75" customHeight="1" x14ac:dyDescent="0.25">
      <c r="A30" s="2">
        <v>0.29166666666666702</v>
      </c>
    </row>
    <row r="31" spans="1:1" ht="15.75" customHeight="1" x14ac:dyDescent="0.25">
      <c r="A31" s="2">
        <v>0.30208333333333298</v>
      </c>
    </row>
    <row r="32" spans="1:1" ht="15.75" customHeight="1" x14ac:dyDescent="0.25">
      <c r="A32" s="2">
        <v>0.3125</v>
      </c>
    </row>
    <row r="33" spans="1:1" ht="15.75" customHeight="1" x14ac:dyDescent="0.25">
      <c r="A33" s="2">
        <v>0.32291666666666702</v>
      </c>
    </row>
    <row r="34" spans="1:1" ht="15.75" customHeight="1" x14ac:dyDescent="0.25">
      <c r="A34" s="2">
        <v>0.33333333333333298</v>
      </c>
    </row>
    <row r="35" spans="1:1" ht="15.75" customHeight="1" x14ac:dyDescent="0.25">
      <c r="A35" s="2">
        <v>0.34375</v>
      </c>
    </row>
    <row r="36" spans="1:1" ht="15.75" customHeight="1" x14ac:dyDescent="0.25">
      <c r="A36" s="2">
        <v>0.35416666666666702</v>
      </c>
    </row>
    <row r="37" spans="1:1" ht="15.75" customHeight="1" x14ac:dyDescent="0.25">
      <c r="A37" s="2">
        <v>0.36458333333333298</v>
      </c>
    </row>
    <row r="38" spans="1:1" ht="15.75" customHeight="1" x14ac:dyDescent="0.25">
      <c r="A38" s="2">
        <v>0.375</v>
      </c>
    </row>
    <row r="39" spans="1:1" ht="15.75" customHeight="1" x14ac:dyDescent="0.25">
      <c r="A39" s="2">
        <v>0.38541666666666702</v>
      </c>
    </row>
    <row r="40" spans="1:1" ht="15.75" customHeight="1" x14ac:dyDescent="0.25">
      <c r="A40" s="2">
        <v>0.39583333333333298</v>
      </c>
    </row>
    <row r="41" spans="1:1" ht="15.75" customHeight="1" x14ac:dyDescent="0.25">
      <c r="A41" s="2">
        <v>0.40625</v>
      </c>
    </row>
    <row r="42" spans="1:1" ht="15.75" customHeight="1" x14ac:dyDescent="0.25">
      <c r="A42" s="2">
        <v>0.41666666666666702</v>
      </c>
    </row>
    <row r="43" spans="1:1" ht="15.75" customHeight="1" x14ac:dyDescent="0.25">
      <c r="A43" s="2">
        <v>0.42708333333333298</v>
      </c>
    </row>
    <row r="44" spans="1:1" ht="15.75" customHeight="1" x14ac:dyDescent="0.25">
      <c r="A44" s="2">
        <v>0.4375</v>
      </c>
    </row>
    <row r="45" spans="1:1" ht="15.75" customHeight="1" x14ac:dyDescent="0.25">
      <c r="A45" s="2">
        <v>0.44791666666666702</v>
      </c>
    </row>
    <row r="46" spans="1:1" ht="15.75" customHeight="1" x14ac:dyDescent="0.25">
      <c r="A46" s="2">
        <v>0.45833333333333298</v>
      </c>
    </row>
    <row r="47" spans="1:1" ht="15.75" customHeight="1" x14ac:dyDescent="0.25">
      <c r="A47" s="2">
        <v>0.46875</v>
      </c>
    </row>
    <row r="48" spans="1:1" ht="15.75" customHeight="1" x14ac:dyDescent="0.25">
      <c r="A48" s="2">
        <v>0.47916666666666702</v>
      </c>
    </row>
    <row r="49" spans="1:1" ht="15.75" customHeight="1" x14ac:dyDescent="0.25">
      <c r="A49" s="2">
        <v>0.48958333333333298</v>
      </c>
    </row>
    <row r="50" spans="1:1" ht="15.75" customHeight="1" x14ac:dyDescent="0.25">
      <c r="A50" s="2">
        <v>0.5</v>
      </c>
    </row>
    <row r="51" spans="1:1" ht="15.75" customHeight="1" x14ac:dyDescent="0.25">
      <c r="A51" s="2">
        <v>0.51041666666666696</v>
      </c>
    </row>
    <row r="52" spans="1:1" ht="15.75" customHeight="1" x14ac:dyDescent="0.25">
      <c r="A52" s="2">
        <v>0.52083333333333304</v>
      </c>
    </row>
    <row r="53" spans="1:1" ht="15.75" customHeight="1" x14ac:dyDescent="0.25">
      <c r="A53" s="2">
        <v>0.53125</v>
      </c>
    </row>
    <row r="54" spans="1:1" ht="15.75" customHeight="1" x14ac:dyDescent="0.25">
      <c r="A54" s="2">
        <v>0.54166666666666696</v>
      </c>
    </row>
    <row r="55" spans="1:1" ht="15.75" customHeight="1" x14ac:dyDescent="0.25">
      <c r="A55" s="2">
        <v>0.55208333333333304</v>
      </c>
    </row>
    <row r="56" spans="1:1" ht="15.75" customHeight="1" x14ac:dyDescent="0.25">
      <c r="A56" s="2">
        <v>0.5625</v>
      </c>
    </row>
    <row r="57" spans="1:1" ht="15.75" customHeight="1" x14ac:dyDescent="0.25">
      <c r="A57" s="2">
        <v>0.57291666666666696</v>
      </c>
    </row>
    <row r="58" spans="1:1" ht="15.75" customHeight="1" x14ac:dyDescent="0.25">
      <c r="A58" s="2">
        <v>0.58333333333333304</v>
      </c>
    </row>
    <row r="59" spans="1:1" ht="15.75" customHeight="1" x14ac:dyDescent="0.25">
      <c r="A59" s="2">
        <v>0.59375</v>
      </c>
    </row>
    <row r="60" spans="1:1" ht="15.75" customHeight="1" x14ac:dyDescent="0.25">
      <c r="A60" s="2">
        <v>0.60416666666666696</v>
      </c>
    </row>
    <row r="61" spans="1:1" ht="15.75" customHeight="1" x14ac:dyDescent="0.25">
      <c r="A61" s="2">
        <v>0.61458333333333304</v>
      </c>
    </row>
    <row r="62" spans="1:1" ht="15.75" customHeight="1" x14ac:dyDescent="0.25">
      <c r="A62" s="2">
        <v>0.625</v>
      </c>
    </row>
    <row r="63" spans="1:1" ht="15.75" customHeight="1" x14ac:dyDescent="0.25">
      <c r="A63" s="2">
        <v>0.63541666666666696</v>
      </c>
    </row>
    <row r="64" spans="1:1" ht="15.75" customHeight="1" x14ac:dyDescent="0.25">
      <c r="A64" s="2">
        <v>0.64583333333333304</v>
      </c>
    </row>
    <row r="65" spans="1:1" ht="15.75" customHeight="1" x14ac:dyDescent="0.25">
      <c r="A65" s="2">
        <v>0.65625</v>
      </c>
    </row>
    <row r="66" spans="1:1" ht="15.75" customHeight="1" x14ac:dyDescent="0.25">
      <c r="A66" s="2">
        <v>0.66666666666666696</v>
      </c>
    </row>
    <row r="67" spans="1:1" ht="15.75" customHeight="1" x14ac:dyDescent="0.25">
      <c r="A67" s="2">
        <v>0.67708333333333304</v>
      </c>
    </row>
    <row r="68" spans="1:1" ht="15.75" customHeight="1" x14ac:dyDescent="0.25">
      <c r="A68" s="2">
        <v>0.6875</v>
      </c>
    </row>
    <row r="69" spans="1:1" ht="15.75" customHeight="1" x14ac:dyDescent="0.25">
      <c r="A69" s="2">
        <v>0.69791666666666696</v>
      </c>
    </row>
    <row r="70" spans="1:1" ht="15.75" customHeight="1" x14ac:dyDescent="0.25">
      <c r="A70" s="2">
        <v>0.70833333333333304</v>
      </c>
    </row>
    <row r="71" spans="1:1" ht="15.75" customHeight="1" x14ac:dyDescent="0.25">
      <c r="A71" s="2">
        <v>0.71875</v>
      </c>
    </row>
    <row r="72" spans="1:1" ht="15.75" customHeight="1" x14ac:dyDescent="0.25">
      <c r="A72" s="2">
        <v>0.72916666666666696</v>
      </c>
    </row>
    <row r="73" spans="1:1" ht="15.75" customHeight="1" x14ac:dyDescent="0.25">
      <c r="A73" s="2">
        <v>0.73958333333333304</v>
      </c>
    </row>
    <row r="74" spans="1:1" ht="15.75" customHeight="1" x14ac:dyDescent="0.25">
      <c r="A74" s="2">
        <v>0.75</v>
      </c>
    </row>
    <row r="75" spans="1:1" ht="15.75" customHeight="1" x14ac:dyDescent="0.25">
      <c r="A75" s="2">
        <v>0.76041666666666696</v>
      </c>
    </row>
    <row r="76" spans="1:1" ht="15.75" customHeight="1" x14ac:dyDescent="0.25">
      <c r="A76" s="2">
        <v>0.77083333333333304</v>
      </c>
    </row>
    <row r="77" spans="1:1" ht="15.75" customHeight="1" x14ac:dyDescent="0.25">
      <c r="A77" s="2">
        <v>0.78125</v>
      </c>
    </row>
    <row r="78" spans="1:1" ht="15.75" customHeight="1" x14ac:dyDescent="0.25">
      <c r="A78" s="2">
        <v>0.79166666666666696</v>
      </c>
    </row>
    <row r="79" spans="1:1" ht="15.75" customHeight="1" x14ac:dyDescent="0.25">
      <c r="A79" s="2">
        <v>0.80208333333333304</v>
      </c>
    </row>
    <row r="80" spans="1:1" ht="15.75" customHeight="1" x14ac:dyDescent="0.25">
      <c r="A80" s="2">
        <v>0.8125</v>
      </c>
    </row>
    <row r="81" spans="1:1" ht="15.75" customHeight="1" x14ac:dyDescent="0.25">
      <c r="A81" s="2">
        <v>0.82291666666666696</v>
      </c>
    </row>
    <row r="82" spans="1:1" ht="15.75" customHeight="1" x14ac:dyDescent="0.25">
      <c r="A82" s="2">
        <v>0.83333333333333304</v>
      </c>
    </row>
    <row r="83" spans="1:1" ht="15.75" customHeight="1" x14ac:dyDescent="0.25">
      <c r="A83" s="2">
        <v>0.84375</v>
      </c>
    </row>
    <row r="84" spans="1:1" ht="15.75" customHeight="1" x14ac:dyDescent="0.25">
      <c r="A84" s="2">
        <v>0.85416666666666796</v>
      </c>
    </row>
    <row r="85" spans="1:1" ht="15.75" customHeight="1" x14ac:dyDescent="0.25">
      <c r="A85" s="2">
        <v>0.86458333333333504</v>
      </c>
    </row>
    <row r="86" spans="1:1" ht="15.75" customHeight="1" x14ac:dyDescent="0.25">
      <c r="A86" s="2">
        <v>0.875000000000002</v>
      </c>
    </row>
    <row r="87" spans="1:1" ht="15.75" customHeight="1" x14ac:dyDescent="0.25">
      <c r="A87" s="2">
        <v>0.88541666666666896</v>
      </c>
    </row>
    <row r="88" spans="1:1" ht="15.75" customHeight="1" x14ac:dyDescent="0.25">
      <c r="A88" s="2">
        <v>0.89583333333333603</v>
      </c>
    </row>
    <row r="89" spans="1:1" ht="15.75" customHeight="1" x14ac:dyDescent="0.25">
      <c r="A89" s="2">
        <v>0.906250000000003</v>
      </c>
    </row>
    <row r="90" spans="1:1" ht="15.75" customHeight="1" x14ac:dyDescent="0.25">
      <c r="A90" s="2">
        <v>0.91666666666666996</v>
      </c>
    </row>
    <row r="91" spans="1:1" ht="15.75" customHeight="1" x14ac:dyDescent="0.25">
      <c r="A91" s="2">
        <v>0.92708333333333703</v>
      </c>
    </row>
    <row r="92" spans="1:1" ht="15.75" customHeight="1" x14ac:dyDescent="0.25">
      <c r="A92" s="2">
        <v>0.937500000000004</v>
      </c>
    </row>
    <row r="93" spans="1:1" ht="15.75" customHeight="1" x14ac:dyDescent="0.25">
      <c r="A93" s="2">
        <v>0.94791666666666996</v>
      </c>
    </row>
    <row r="94" spans="1:1" ht="15.75" customHeight="1" x14ac:dyDescent="0.25">
      <c r="A94" s="2">
        <v>0.95833333333333703</v>
      </c>
    </row>
    <row r="95" spans="1:1" ht="15.75" customHeight="1" x14ac:dyDescent="0.25">
      <c r="A95" s="2">
        <v>0.968750000000004</v>
      </c>
    </row>
    <row r="96" spans="1:1" ht="15.75" customHeight="1" x14ac:dyDescent="0.25">
      <c r="A96" s="2">
        <v>0.97916666666667096</v>
      </c>
    </row>
    <row r="97" spans="1:1" ht="15.75" customHeight="1" x14ac:dyDescent="0.25">
      <c r="A97" s="2">
        <v>0.98958333333333803</v>
      </c>
    </row>
    <row r="98" spans="1:1" ht="15.75" customHeight="1" x14ac:dyDescent="0.25">
      <c r="A98" s="2"/>
    </row>
    <row r="99" spans="1:1" ht="15.75" customHeight="1" x14ac:dyDescent="0.25"/>
    <row r="100" spans="1:1" ht="15.75" customHeight="1" x14ac:dyDescent="0.25"/>
    <row r="101" spans="1:1" ht="15.75" customHeight="1" x14ac:dyDescent="0.25"/>
    <row r="102" spans="1:1" ht="15.75" customHeight="1" x14ac:dyDescent="0.25"/>
    <row r="103" spans="1:1" ht="15.75" customHeight="1" x14ac:dyDescent="0.25"/>
    <row r="104" spans="1:1" ht="15.75" customHeight="1" x14ac:dyDescent="0.25"/>
    <row r="105" spans="1:1" ht="15.75" customHeight="1" x14ac:dyDescent="0.25"/>
    <row r="106" spans="1:1" ht="15.75" customHeight="1" x14ac:dyDescent="0.25"/>
    <row r="107" spans="1:1" ht="15.75" customHeight="1" x14ac:dyDescent="0.25"/>
    <row r="108" spans="1:1" ht="15.75" customHeight="1" x14ac:dyDescent="0.25"/>
    <row r="109" spans="1:1" ht="15.75" customHeight="1" x14ac:dyDescent="0.25"/>
    <row r="110" spans="1:1" ht="15.75" customHeight="1" x14ac:dyDescent="0.25"/>
    <row r="111" spans="1:1" ht="15.75" customHeight="1" x14ac:dyDescent="0.25"/>
    <row r="112" spans="1: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Tapz Latu</dc:creator>
  <cp:lastModifiedBy>Tapz Latu</cp:lastModifiedBy>
  <dcterms:created xsi:type="dcterms:W3CDTF">2026-09-09T03:19:25Z</dcterms:created>
  <dcterms:modified xsi:type="dcterms:W3CDTF">2026-09-09T13:34:26Z</dcterms:modified>
</cp:coreProperties>
</file>